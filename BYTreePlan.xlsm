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47d1cf69f0b436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bian/Library/Mobile Documents/com~apple~CloudDocs/MBA/数学建模/TreePlan/"/>
    </mc:Choice>
  </mc:AlternateContent>
  <xr:revisionPtr revIDLastSave="0" documentId="13_ncr:1_{E003D8D0-2D6C-0142-93B6-72CD7537A205}" xr6:coauthVersionLast="37" xr6:coauthVersionMax="37" xr10:uidLastSave="{00000000-0000-0000-0000-000000000000}"/>
  <bookViews>
    <workbookView xWindow="0" yWindow="460" windowWidth="28800" windowHeight="17380" xr2:uid="{00000000-000D-0000-FFFF-FFFF00000000}"/>
  </bookViews>
  <sheets>
    <sheet name="Sheet5" sheetId="155" r:id="rId1"/>
  </sheets>
  <functionGroups builtInGroupCount="19"/>
  <definedNames>
    <definedName name="RT">999999999999</definedName>
    <definedName name="TreeData" localSheetId="0">Sheet5!$ALN$1003:$ALU$1011</definedName>
    <definedName name="TreeDiag" localSheetId="0">Sheet5!$B$3:$L$32</definedName>
    <definedName name="TreeOption" localSheetId="0">Sheet5!$ALM$991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55" l="1"/>
  <c r="F31" i="155"/>
  <c r="L30" i="155"/>
  <c r="F26" i="155"/>
  <c r="L25" i="155"/>
  <c r="F21" i="155"/>
  <c r="L20" i="155"/>
  <c r="F11" i="155"/>
  <c r="L15" i="155"/>
  <c r="J16" i="155" s="1"/>
  <c r="L10" i="155"/>
  <c r="J11" i="155" s="1"/>
  <c r="L5" i="155"/>
  <c r="J6" i="155" s="1"/>
</calcChain>
</file>

<file path=xl/sharedStrings.xml><?xml version="1.0" encoding="utf-8"?>
<sst xmlns="http://schemas.openxmlformats.org/spreadsheetml/2006/main" count="32" uniqueCount="20">
  <si>
    <t>ID</t>
  </si>
  <si>
    <t>PARENT</t>
  </si>
  <si>
    <t>TYPE</t>
  </si>
  <si>
    <t>ROW</t>
  </si>
  <si>
    <t>COL</t>
  </si>
  <si>
    <t>LABEL</t>
  </si>
  <si>
    <t>VALUE</t>
  </si>
  <si>
    <t>PROP</t>
  </si>
  <si>
    <t>T</t>
  </si>
  <si>
    <t>D</t>
  </si>
  <si>
    <t>Decision 1</t>
  </si>
  <si>
    <t>Decision 2</t>
  </si>
  <si>
    <t>Decision 3</t>
  </si>
  <si>
    <t>max</t>
  </si>
  <si>
    <t>Decision 4</t>
  </si>
  <si>
    <t>E</t>
  </si>
  <si>
    <t>colorful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</si>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</sst>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4</xdr:row>
      <xdr:rowOff>12700</xdr:rowOff>
    </xdr:from>
    <xdr:to>
      <xdr:col>11</xdr:col>
      <xdr:colOff>0</xdr:colOff>
      <xdr:row>4</xdr:row>
      <xdr:rowOff>177800</xdr:rowOff>
    </xdr:to>
    <xdr:sp macro="" textlink="">
      <xdr:nvSpPr>
        <xdr:cNvPr id="317" name="Triangle 316">
          <a:extLst>
            <a:ext uri="{FF2B5EF4-FFF2-40B4-BE49-F238E27FC236}">
              <a16:creationId xmlns:a16="http://schemas.microsoft.com/office/drawing/2014/main" id="{D00C17F0-52FB-F54C-9955-E5E0BF1F5869}"/>
            </a:ext>
          </a:extLst>
        </xdr:cNvPr>
        <xdr:cNvSpPr/>
      </xdr:nvSpPr>
      <xdr:spPr>
        <a:xfrm rot="16200000">
          <a:off x="6032500" y="7747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81EDB4CB-EBBB-C44C-9734-79614F5D5AE0}"/>
            </a:ext>
          </a:extLst>
        </xdr:cNvPr>
        <xdr:cNvCxnSpPr/>
      </xdr:nvCxnSpPr>
      <xdr:spPr>
        <a:xfrm flipV="1">
          <a:off x="4013200" y="857250"/>
          <a:ext cx="355600" cy="9525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</xdr:row>
      <xdr:rowOff>95250</xdr:rowOff>
    </xdr:from>
    <xdr:to>
      <xdr:col>10</xdr:col>
      <xdr:colOff>0</xdr:colOff>
      <xdr:row>4</xdr:row>
      <xdr:rowOff>95250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8BFF3698-DC9A-6C43-B0F6-275305051199}"/>
            </a:ext>
          </a:extLst>
        </xdr:cNvPr>
        <xdr:cNvCxnSpPr/>
      </xdr:nvCxnSpPr>
      <xdr:spPr>
        <a:xfrm>
          <a:off x="4368800" y="8572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</xdr:colOff>
      <xdr:row>9</xdr:row>
      <xdr:rowOff>12700</xdr:rowOff>
    </xdr:from>
    <xdr:to>
      <xdr:col>11</xdr:col>
      <xdr:colOff>0</xdr:colOff>
      <xdr:row>9</xdr:row>
      <xdr:rowOff>177800</xdr:rowOff>
    </xdr:to>
    <xdr:sp macro="" textlink="">
      <xdr:nvSpPr>
        <xdr:cNvPr id="320" name="Triangle 319">
          <a:extLst>
            <a:ext uri="{FF2B5EF4-FFF2-40B4-BE49-F238E27FC236}">
              <a16:creationId xmlns:a16="http://schemas.microsoft.com/office/drawing/2014/main" id="{8C7C9E2C-51E7-4242-A608-8BA73C57ACF4}"/>
            </a:ext>
          </a:extLst>
        </xdr:cNvPr>
        <xdr:cNvSpPr/>
      </xdr:nvSpPr>
      <xdr:spPr>
        <a:xfrm rot="16200000">
          <a:off x="6032500" y="17272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E7C82AC3-8E79-F448-AF1D-9475251E2485}"/>
            </a:ext>
          </a:extLst>
        </xdr:cNvPr>
        <xdr:cNvCxnSpPr/>
      </xdr:nvCxnSpPr>
      <xdr:spPr>
        <a:xfrm>
          <a:off x="4013200" y="1809750"/>
          <a:ext cx="3556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322" name="Straight Connector 321">
          <a:extLst>
            <a:ext uri="{FF2B5EF4-FFF2-40B4-BE49-F238E27FC236}">
              <a16:creationId xmlns:a16="http://schemas.microsoft.com/office/drawing/2014/main" id="{92CE3C5D-7488-B74C-A961-03B1C364CE55}"/>
            </a:ext>
          </a:extLst>
        </xdr:cNvPr>
        <xdr:cNvCxnSpPr/>
      </xdr:nvCxnSpPr>
      <xdr:spPr>
        <a:xfrm>
          <a:off x="4368800" y="1809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</xdr:colOff>
      <xdr:row>14</xdr:row>
      <xdr:rowOff>12700</xdr:rowOff>
    </xdr:from>
    <xdr:to>
      <xdr:col>11</xdr:col>
      <xdr:colOff>0</xdr:colOff>
      <xdr:row>14</xdr:row>
      <xdr:rowOff>177800</xdr:rowOff>
    </xdr:to>
    <xdr:sp macro="" textlink="">
      <xdr:nvSpPr>
        <xdr:cNvPr id="323" name="Triangle 322">
          <a:extLst>
            <a:ext uri="{FF2B5EF4-FFF2-40B4-BE49-F238E27FC236}">
              <a16:creationId xmlns:a16="http://schemas.microsoft.com/office/drawing/2014/main" id="{C9ABC899-22F5-164B-87E8-DC3F59D05EFC}"/>
            </a:ext>
          </a:extLst>
        </xdr:cNvPr>
        <xdr:cNvSpPr/>
      </xdr:nvSpPr>
      <xdr:spPr>
        <a:xfrm rot="16200000">
          <a:off x="6032500" y="26797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14</xdr:row>
      <xdr:rowOff>95250</xdr:rowOff>
    </xdr:to>
    <xdr:cxnSp macro="">
      <xdr:nvCxnSpPr>
        <xdr:cNvPr id="324" name="Straight Connector 323">
          <a:extLst>
            <a:ext uri="{FF2B5EF4-FFF2-40B4-BE49-F238E27FC236}">
              <a16:creationId xmlns:a16="http://schemas.microsoft.com/office/drawing/2014/main" id="{BE5348B6-651E-1E44-8EE9-FD536A582224}"/>
            </a:ext>
          </a:extLst>
        </xdr:cNvPr>
        <xdr:cNvCxnSpPr/>
      </xdr:nvCxnSpPr>
      <xdr:spPr>
        <a:xfrm>
          <a:off x="4013200" y="1809750"/>
          <a:ext cx="355600" cy="9525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</xdr:row>
      <xdr:rowOff>95250</xdr:rowOff>
    </xdr:from>
    <xdr:to>
      <xdr:col>10</xdr:col>
      <xdr:colOff>0</xdr:colOff>
      <xdr:row>14</xdr:row>
      <xdr:rowOff>95250</xdr:rowOff>
    </xdr:to>
    <xdr:cxnSp macro="">
      <xdr:nvCxnSpPr>
        <xdr:cNvPr id="325" name="Straight Connector 324">
          <a:extLst>
            <a:ext uri="{FF2B5EF4-FFF2-40B4-BE49-F238E27FC236}">
              <a16:creationId xmlns:a16="http://schemas.microsoft.com/office/drawing/2014/main" id="{74173004-AE4E-C048-881D-9277E4AD8F07}"/>
            </a:ext>
          </a:extLst>
        </xdr:cNvPr>
        <xdr:cNvCxnSpPr/>
      </xdr:nvCxnSpPr>
      <xdr:spPr>
        <a:xfrm>
          <a:off x="4368800" y="27622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9</xdr:row>
      <xdr:rowOff>12700</xdr:rowOff>
    </xdr:from>
    <xdr:to>
      <xdr:col>7</xdr:col>
      <xdr:colOff>0</xdr:colOff>
      <xdr:row>9</xdr:row>
      <xdr:rowOff>177800</xdr:rowOff>
    </xdr:to>
    <xdr:sp macro="" textlink="">
      <xdr:nvSpPr>
        <xdr:cNvPr id="326" name="Oval 325">
          <a:extLst>
            <a:ext uri="{FF2B5EF4-FFF2-40B4-BE49-F238E27FC236}">
              <a16:creationId xmlns:a16="http://schemas.microsoft.com/office/drawing/2014/main" id="{31E0F8B2-6777-5C4F-9D07-BB82C4A324C7}"/>
            </a:ext>
          </a:extLst>
        </xdr:cNvPr>
        <xdr:cNvSpPr/>
      </xdr:nvSpPr>
      <xdr:spPr>
        <a:xfrm>
          <a:off x="3848100" y="1727200"/>
          <a:ext cx="165100" cy="165100"/>
        </a:xfrm>
        <a:prstGeom prst="ellipse">
          <a:avLst/>
        </a:prstGeom>
        <a:solidFill>
          <a:srgbClr val="29FD39"/>
        </a:solidFill>
        <a:ln w="12700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9</xdr:row>
      <xdr:rowOff>95250</xdr:rowOff>
    </xdr:from>
    <xdr:to>
      <xdr:col>4</xdr:col>
      <xdr:colOff>0</xdr:colOff>
      <xdr:row>19</xdr:row>
      <xdr:rowOff>95250</xdr:rowOff>
    </xdr:to>
    <xdr:cxnSp macro="">
      <xdr:nvCxnSpPr>
        <xdr:cNvPr id="327" name="Straight Connector 326">
          <a:extLst>
            <a:ext uri="{FF2B5EF4-FFF2-40B4-BE49-F238E27FC236}">
              <a16:creationId xmlns:a16="http://schemas.microsoft.com/office/drawing/2014/main" id="{47474297-9753-704F-BC9B-9ABD2EAC67CA}"/>
            </a:ext>
          </a:extLst>
        </xdr:cNvPr>
        <xdr:cNvCxnSpPr/>
      </xdr:nvCxnSpPr>
      <xdr:spPr>
        <a:xfrm flipV="1">
          <a:off x="1828800" y="1809750"/>
          <a:ext cx="355600" cy="19050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cxnSp macro="">
      <xdr:nvCxnSpPr>
        <xdr:cNvPr id="328" name="Straight Connector 327">
          <a:extLst>
            <a:ext uri="{FF2B5EF4-FFF2-40B4-BE49-F238E27FC236}">
              <a16:creationId xmlns:a16="http://schemas.microsoft.com/office/drawing/2014/main" id="{3446D8CC-3A4B-B843-8433-7572C2CB447F}"/>
            </a:ext>
          </a:extLst>
        </xdr:cNvPr>
        <xdr:cNvCxnSpPr/>
      </xdr:nvCxnSpPr>
      <xdr:spPr>
        <a:xfrm>
          <a:off x="2184400" y="1809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19</xdr:row>
      <xdr:rowOff>177800</xdr:rowOff>
    </xdr:to>
    <xdr:sp macro="" textlink="">
      <xdr:nvSpPr>
        <xdr:cNvPr id="329" name="Triangle 328">
          <a:extLst>
            <a:ext uri="{FF2B5EF4-FFF2-40B4-BE49-F238E27FC236}">
              <a16:creationId xmlns:a16="http://schemas.microsoft.com/office/drawing/2014/main" id="{E9954A4A-79CC-EC4D-AADE-BE8304051983}"/>
            </a:ext>
          </a:extLst>
        </xdr:cNvPr>
        <xdr:cNvSpPr/>
      </xdr:nvSpPr>
      <xdr:spPr>
        <a:xfrm rot="16200000">
          <a:off x="3848100" y="36322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19</xdr:row>
      <xdr:rowOff>95250</xdr:rowOff>
    </xdr:from>
    <xdr:to>
      <xdr:col>11</xdr:col>
      <xdr:colOff>0</xdr:colOff>
      <xdr:row>19</xdr:row>
      <xdr:rowOff>95250</xdr:rowOff>
    </xdr:to>
    <xdr:cxnSp macro="">
      <xdr:nvCxnSpPr>
        <xdr:cNvPr id="330" name="Straight Connector 329">
          <a:extLst>
            <a:ext uri="{FF2B5EF4-FFF2-40B4-BE49-F238E27FC236}">
              <a16:creationId xmlns:a16="http://schemas.microsoft.com/office/drawing/2014/main" id="{6430F686-C694-0F46-AE0E-9F9E5D79D85A}"/>
            </a:ext>
          </a:extLst>
        </xdr:cNvPr>
        <xdr:cNvCxnSpPr/>
      </xdr:nvCxnSpPr>
      <xdr:spPr>
        <a:xfrm>
          <a:off x="4013200" y="3714750"/>
          <a:ext cx="2184400" cy="0"/>
        </a:xfrm>
        <a:prstGeom prst="line">
          <a:avLst/>
        </a:prstGeom>
        <a:ln w="9525">
          <a:solidFill>
            <a:srgbClr val="7F7F7F"/>
          </a:solidFill>
          <a:prstDash val="dash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95250</xdr:rowOff>
    </xdr:from>
    <xdr:to>
      <xdr:col>4</xdr:col>
      <xdr:colOff>0</xdr:colOff>
      <xdr:row>19</xdr:row>
      <xdr:rowOff>95250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F8AFDF5E-4919-ED45-937B-805BB3521CCD}"/>
            </a:ext>
          </a:extLst>
        </xdr:cNvPr>
        <xdr:cNvCxnSpPr/>
      </xdr:nvCxnSpPr>
      <xdr:spPr>
        <a:xfrm>
          <a:off x="1828800" y="3714750"/>
          <a:ext cx="3556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19</xdr:row>
      <xdr:rowOff>95250</xdr:rowOff>
    </xdr:from>
    <xdr:to>
      <xdr:col>6</xdr:col>
      <xdr:colOff>0</xdr:colOff>
      <xdr:row>19</xdr:row>
      <xdr:rowOff>95250</xdr:rowOff>
    </xdr:to>
    <xdr:cxnSp macro="">
      <xdr:nvCxnSpPr>
        <xdr:cNvPr id="332" name="Straight Connector 331">
          <a:extLst>
            <a:ext uri="{FF2B5EF4-FFF2-40B4-BE49-F238E27FC236}">
              <a16:creationId xmlns:a16="http://schemas.microsoft.com/office/drawing/2014/main" id="{2991B964-BEE7-B44F-AC0B-F9FA72D7E0C9}"/>
            </a:ext>
          </a:extLst>
        </xdr:cNvPr>
        <xdr:cNvCxnSpPr/>
      </xdr:nvCxnSpPr>
      <xdr:spPr>
        <a:xfrm>
          <a:off x="2184400" y="3714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24</xdr:row>
      <xdr:rowOff>12700</xdr:rowOff>
    </xdr:from>
    <xdr:to>
      <xdr:col>7</xdr:col>
      <xdr:colOff>0</xdr:colOff>
      <xdr:row>24</xdr:row>
      <xdr:rowOff>177800</xdr:rowOff>
    </xdr:to>
    <xdr:sp macro="" textlink="">
      <xdr:nvSpPr>
        <xdr:cNvPr id="333" name="Triangle 332">
          <a:extLst>
            <a:ext uri="{FF2B5EF4-FFF2-40B4-BE49-F238E27FC236}">
              <a16:creationId xmlns:a16="http://schemas.microsoft.com/office/drawing/2014/main" id="{AF565FD7-E064-224E-8707-534A3D040212}"/>
            </a:ext>
          </a:extLst>
        </xdr:cNvPr>
        <xdr:cNvSpPr/>
      </xdr:nvSpPr>
      <xdr:spPr>
        <a:xfrm rot="16200000">
          <a:off x="3848100" y="45847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24</xdr:row>
      <xdr:rowOff>95250</xdr:rowOff>
    </xdr:from>
    <xdr:to>
      <xdr:col>11</xdr:col>
      <xdr:colOff>0</xdr:colOff>
      <xdr:row>24</xdr:row>
      <xdr:rowOff>95250</xdr:rowOff>
    </xdr:to>
    <xdr:cxnSp macro="">
      <xdr:nvCxnSpPr>
        <xdr:cNvPr id="334" name="Straight Connector 333">
          <a:extLst>
            <a:ext uri="{FF2B5EF4-FFF2-40B4-BE49-F238E27FC236}">
              <a16:creationId xmlns:a16="http://schemas.microsoft.com/office/drawing/2014/main" id="{3B5EBDC5-5277-E247-8F94-267F1AA04EEB}"/>
            </a:ext>
          </a:extLst>
        </xdr:cNvPr>
        <xdr:cNvCxnSpPr/>
      </xdr:nvCxnSpPr>
      <xdr:spPr>
        <a:xfrm>
          <a:off x="4013200" y="4667250"/>
          <a:ext cx="2184400" cy="0"/>
        </a:xfrm>
        <a:prstGeom prst="line">
          <a:avLst/>
        </a:prstGeom>
        <a:ln w="9525">
          <a:solidFill>
            <a:srgbClr val="7F7F7F"/>
          </a:solidFill>
          <a:prstDash val="dash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95250</xdr:rowOff>
    </xdr:from>
    <xdr:to>
      <xdr:col>4</xdr:col>
      <xdr:colOff>0</xdr:colOff>
      <xdr:row>24</xdr:row>
      <xdr:rowOff>95250</xdr:rowOff>
    </xdr:to>
    <xdr:cxnSp macro="">
      <xdr:nvCxnSpPr>
        <xdr:cNvPr id="335" name="Straight Connector 334">
          <a:extLst>
            <a:ext uri="{FF2B5EF4-FFF2-40B4-BE49-F238E27FC236}">
              <a16:creationId xmlns:a16="http://schemas.microsoft.com/office/drawing/2014/main" id="{6D8540EF-7AB9-F94A-9E59-231BE330F315}"/>
            </a:ext>
          </a:extLst>
        </xdr:cNvPr>
        <xdr:cNvCxnSpPr/>
      </xdr:nvCxnSpPr>
      <xdr:spPr>
        <a:xfrm>
          <a:off x="1828800" y="3714750"/>
          <a:ext cx="355600" cy="9525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95250</xdr:rowOff>
    </xdr:from>
    <xdr:to>
      <xdr:col>6</xdr:col>
      <xdr:colOff>0</xdr:colOff>
      <xdr:row>24</xdr:row>
      <xdr:rowOff>95250</xdr:rowOff>
    </xdr:to>
    <xdr:cxnSp macro="">
      <xdr:nvCxnSpPr>
        <xdr:cNvPr id="336" name="Straight Connector 335">
          <a:extLst>
            <a:ext uri="{FF2B5EF4-FFF2-40B4-BE49-F238E27FC236}">
              <a16:creationId xmlns:a16="http://schemas.microsoft.com/office/drawing/2014/main" id="{4E75F186-5A72-1D4E-AE9D-51390FAF5888}"/>
            </a:ext>
          </a:extLst>
        </xdr:cNvPr>
        <xdr:cNvCxnSpPr/>
      </xdr:nvCxnSpPr>
      <xdr:spPr>
        <a:xfrm>
          <a:off x="2184400" y="46672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29</xdr:row>
      <xdr:rowOff>12700</xdr:rowOff>
    </xdr:from>
    <xdr:to>
      <xdr:col>7</xdr:col>
      <xdr:colOff>0</xdr:colOff>
      <xdr:row>29</xdr:row>
      <xdr:rowOff>177800</xdr:rowOff>
    </xdr:to>
    <xdr:sp macro="" textlink="">
      <xdr:nvSpPr>
        <xdr:cNvPr id="337" name="Triangle 336">
          <a:extLst>
            <a:ext uri="{FF2B5EF4-FFF2-40B4-BE49-F238E27FC236}">
              <a16:creationId xmlns:a16="http://schemas.microsoft.com/office/drawing/2014/main" id="{26AAC8D6-8111-3E43-A3D4-389625EDEC3D}"/>
            </a:ext>
          </a:extLst>
        </xdr:cNvPr>
        <xdr:cNvSpPr/>
      </xdr:nvSpPr>
      <xdr:spPr>
        <a:xfrm rot="16200000">
          <a:off x="3848100" y="55372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95250</xdr:rowOff>
    </xdr:from>
    <xdr:to>
      <xdr:col>11</xdr:col>
      <xdr:colOff>0</xdr:colOff>
      <xdr:row>29</xdr:row>
      <xdr:rowOff>95250</xdr:rowOff>
    </xdr:to>
    <xdr:cxnSp macro="">
      <xdr:nvCxnSpPr>
        <xdr:cNvPr id="338" name="Straight Connector 337">
          <a:extLst>
            <a:ext uri="{FF2B5EF4-FFF2-40B4-BE49-F238E27FC236}">
              <a16:creationId xmlns:a16="http://schemas.microsoft.com/office/drawing/2014/main" id="{3ECB1A26-3F7C-2548-8F70-6D4BBC1C9540}"/>
            </a:ext>
          </a:extLst>
        </xdr:cNvPr>
        <xdr:cNvCxnSpPr/>
      </xdr:nvCxnSpPr>
      <xdr:spPr>
        <a:xfrm>
          <a:off x="4013200" y="5619750"/>
          <a:ext cx="2184400" cy="0"/>
        </a:xfrm>
        <a:prstGeom prst="line">
          <a:avLst/>
        </a:prstGeom>
        <a:ln w="9525">
          <a:solidFill>
            <a:srgbClr val="7F7F7F"/>
          </a:solidFill>
          <a:prstDash val="dash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95250</xdr:rowOff>
    </xdr:from>
    <xdr:to>
      <xdr:col>4</xdr:col>
      <xdr:colOff>0</xdr:colOff>
      <xdr:row>29</xdr:row>
      <xdr:rowOff>95250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85A0F934-46BC-1C40-A2BB-6F8DEFF23556}"/>
            </a:ext>
          </a:extLst>
        </xdr:cNvPr>
        <xdr:cNvCxnSpPr/>
      </xdr:nvCxnSpPr>
      <xdr:spPr>
        <a:xfrm>
          <a:off x="1828800" y="3714750"/>
          <a:ext cx="355600" cy="19050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cxnSp macro="">
      <xdr:nvCxnSpPr>
        <xdr:cNvPr id="340" name="Straight Connector 339">
          <a:extLst>
            <a:ext uri="{FF2B5EF4-FFF2-40B4-BE49-F238E27FC236}">
              <a16:creationId xmlns:a16="http://schemas.microsoft.com/office/drawing/2014/main" id="{65ABF7BD-F215-2848-A6A1-F7AF264AB950}"/>
            </a:ext>
          </a:extLst>
        </xdr:cNvPr>
        <xdr:cNvCxnSpPr/>
      </xdr:nvCxnSpPr>
      <xdr:spPr>
        <a:xfrm>
          <a:off x="2184400" y="5619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</xdr:colOff>
      <xdr:row>19</xdr:row>
      <xdr:rowOff>12700</xdr:rowOff>
    </xdr:from>
    <xdr:to>
      <xdr:col>3</xdr:col>
      <xdr:colOff>0</xdr:colOff>
      <xdr:row>19</xdr:row>
      <xdr:rowOff>177800</xdr:rowOff>
    </xdr:to>
    <xdr:sp macro="" textlink="">
      <xdr:nvSpPr>
        <xdr:cNvPr id="341" name="Rectangle 340">
          <a:extLst>
            <a:ext uri="{FF2B5EF4-FFF2-40B4-BE49-F238E27FC236}">
              <a16:creationId xmlns:a16="http://schemas.microsoft.com/office/drawing/2014/main" id="{3FF75FA7-B4F9-0246-9DFC-0B696D37C17E}"/>
            </a:ext>
          </a:extLst>
        </xdr:cNvPr>
        <xdr:cNvSpPr/>
      </xdr:nvSpPr>
      <xdr:spPr>
        <a:xfrm>
          <a:off x="1663700" y="3632200"/>
          <a:ext cx="165100" cy="165100"/>
        </a:xfrm>
        <a:prstGeom prst="rect">
          <a:avLst/>
        </a:prstGeom>
        <a:solidFill>
          <a:srgbClr val="FFFD87"/>
        </a:solidFill>
        <a:ln w="12700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19</xdr:row>
      <xdr:rowOff>95250</xdr:rowOff>
    </xdr:from>
    <xdr:to>
      <xdr:col>2</xdr:col>
      <xdr:colOff>0</xdr:colOff>
      <xdr:row>19</xdr:row>
      <xdr:rowOff>95250</xdr:rowOff>
    </xdr:to>
    <xdr:cxnSp macro="">
      <xdr:nvCxnSpPr>
        <xdr:cNvPr id="342" name="Straight Connector 341">
          <a:extLst>
            <a:ext uri="{FF2B5EF4-FFF2-40B4-BE49-F238E27FC236}">
              <a16:creationId xmlns:a16="http://schemas.microsoft.com/office/drawing/2014/main" id="{084AD5B6-CC43-C444-BA59-AC04CA265EE3}"/>
            </a:ext>
          </a:extLst>
        </xdr:cNvPr>
        <xdr:cNvCxnSpPr/>
      </xdr:nvCxnSpPr>
      <xdr:spPr>
        <a:xfrm>
          <a:off x="825500" y="3714750"/>
          <a:ext cx="8255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58F-AC9D-494D-87C4-2D3BBE827E0A}">
  <sheetPr codeName="Sheet5"/>
  <dimension ref="A1:ALU1011"/>
  <sheetViews>
    <sheetView tabSelected="1" workbookViewId="0">
      <selection activeCell="F18" sqref="F18"/>
    </sheetView>
  </sheetViews>
  <sheetFormatPr baseColWidth="10" defaultRowHeight="15" x14ac:dyDescent="0.2"/>
  <cols>
    <col min="2" max="2" width="10.83203125" customWidth="1"/>
    <col min="3" max="3" width="2.33203125" customWidth="1"/>
    <col min="4" max="4" width="4.6640625" customWidth="1"/>
    <col min="6" max="6" width="10.83203125" customWidth="1"/>
    <col min="7" max="7" width="2.33203125" customWidth="1"/>
    <col min="8" max="8" width="4.6640625" customWidth="1"/>
    <col min="10" max="10" width="10.83203125" customWidth="1"/>
    <col min="11" max="11" width="2.33203125" customWidth="1"/>
    <col min="14" max="14" width="10.83203125" customWidth="1"/>
    <col min="2000" max="2000" width="2.33203125" customWidth="1"/>
  </cols>
  <sheetData>
    <row r="1" spans="1:1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">
      <c r="A3" s="1"/>
      <c r="B3" s="7"/>
      <c r="C3" s="2"/>
      <c r="D3" s="2"/>
      <c r="E3" s="2"/>
      <c r="F3" s="2"/>
      <c r="G3" s="2"/>
      <c r="H3" s="2"/>
      <c r="I3" s="2">
        <v>0.5</v>
      </c>
      <c r="J3" s="2"/>
      <c r="K3" s="2"/>
      <c r="L3" s="3"/>
      <c r="M3" s="1"/>
      <c r="N3" s="1"/>
      <c r="O3" s="1"/>
    </row>
    <row r="4" spans="1:15" x14ac:dyDescent="0.2">
      <c r="A4" s="1"/>
      <c r="B4" s="8"/>
      <c r="C4" s="1"/>
      <c r="D4" s="1"/>
      <c r="E4" s="1"/>
      <c r="F4" s="1"/>
      <c r="G4" s="1"/>
      <c r="H4" s="1"/>
      <c r="I4" s="1" t="s">
        <v>17</v>
      </c>
      <c r="J4" s="1"/>
      <c r="K4" s="1"/>
      <c r="L4" s="4"/>
      <c r="M4" s="1"/>
      <c r="N4" s="1"/>
      <c r="O4" s="1"/>
    </row>
    <row r="5" spans="1:15" x14ac:dyDescent="0.2">
      <c r="A5" s="1"/>
      <c r="B5" s="8"/>
      <c r="C5" s="1"/>
      <c r="D5" s="1"/>
      <c r="E5" s="1"/>
      <c r="F5" s="1"/>
      <c r="G5" s="1"/>
      <c r="H5" s="1"/>
      <c r="I5" s="1"/>
      <c r="J5" s="1"/>
      <c r="K5" s="1"/>
      <c r="L5" s="4">
        <f>SUM(I6,E11,)</f>
        <v>100</v>
      </c>
      <c r="M5" s="1"/>
      <c r="N5" s="1"/>
      <c r="O5" s="1"/>
    </row>
    <row r="6" spans="1:15" x14ac:dyDescent="0.2">
      <c r="A6" s="1"/>
      <c r="B6" s="8"/>
      <c r="C6" s="1"/>
      <c r="D6" s="1"/>
      <c r="E6" s="1"/>
      <c r="F6" s="1"/>
      <c r="G6" s="1"/>
      <c r="H6" s="1"/>
      <c r="I6" s="1">
        <v>100</v>
      </c>
      <c r="J6" s="1">
        <f>L5</f>
        <v>100</v>
      </c>
      <c r="K6" s="1"/>
      <c r="L6" s="4"/>
      <c r="M6" s="1"/>
      <c r="N6" s="1"/>
      <c r="O6" s="1"/>
    </row>
    <row r="7" spans="1:15" x14ac:dyDescent="0.2">
      <c r="A7" s="1"/>
      <c r="B7" s="8"/>
      <c r="C7" s="1"/>
      <c r="D7" s="1"/>
      <c r="E7" s="1"/>
      <c r="F7" s="1"/>
      <c r="G7" s="1"/>
      <c r="H7" s="1"/>
      <c r="I7" s="1"/>
      <c r="J7" s="1"/>
      <c r="K7" s="1"/>
      <c r="L7" s="4"/>
      <c r="M7" s="1"/>
      <c r="N7" s="1"/>
      <c r="O7" s="1"/>
    </row>
    <row r="8" spans="1:15" x14ac:dyDescent="0.2">
      <c r="A8" s="1"/>
      <c r="B8" s="8"/>
      <c r="C8" s="1"/>
      <c r="D8" s="1"/>
      <c r="E8" s="1"/>
      <c r="F8" s="1"/>
      <c r="G8" s="1"/>
      <c r="H8" s="1"/>
      <c r="I8" s="1">
        <v>0.25</v>
      </c>
      <c r="J8" s="1"/>
      <c r="K8" s="1"/>
      <c r="L8" s="4"/>
      <c r="M8" s="1"/>
      <c r="N8" s="1"/>
      <c r="O8" s="1"/>
    </row>
    <row r="9" spans="1:15" x14ac:dyDescent="0.2">
      <c r="A9" s="1"/>
      <c r="B9" s="8"/>
      <c r="C9" s="1"/>
      <c r="D9" s="1"/>
      <c r="E9" s="1" t="s">
        <v>10</v>
      </c>
      <c r="F9" s="1"/>
      <c r="G9" s="1"/>
      <c r="H9" s="1"/>
      <c r="I9" s="1" t="s">
        <v>18</v>
      </c>
      <c r="J9" s="1"/>
      <c r="K9" s="1"/>
      <c r="L9" s="4"/>
      <c r="M9" s="1"/>
      <c r="N9" s="1"/>
      <c r="O9" s="1"/>
    </row>
    <row r="10" spans="1:15" x14ac:dyDescent="0.2">
      <c r="A10" s="1"/>
      <c r="B10" s="8"/>
      <c r="C10" s="1"/>
      <c r="D10" s="1"/>
      <c r="E10" s="1"/>
      <c r="F10" s="1"/>
      <c r="G10" s="1"/>
      <c r="H10" s="1"/>
      <c r="I10" s="1"/>
      <c r="J10" s="1"/>
      <c r="K10" s="1"/>
      <c r="L10" s="4">
        <f>SUM(I11,E11,)</f>
        <v>200</v>
      </c>
      <c r="M10" s="1"/>
      <c r="N10" s="1"/>
      <c r="O10" s="1"/>
    </row>
    <row r="11" spans="1:15" x14ac:dyDescent="0.2">
      <c r="A11" s="1"/>
      <c r="B11" s="8"/>
      <c r="C11" s="1"/>
      <c r="D11" s="1"/>
      <c r="E11" s="1">
        <v>0</v>
      </c>
      <c r="F11" s="1">
        <f>IF(ABS(1-SUM(I3,I8,I13))&lt;=0.00001,SUM(I3 * J6,I8 * J11,I13 * J16),NA())</f>
        <v>175</v>
      </c>
      <c r="G11" s="1"/>
      <c r="H11" s="1"/>
      <c r="I11" s="1">
        <v>200</v>
      </c>
      <c r="J11" s="1">
        <f>L10</f>
        <v>200</v>
      </c>
      <c r="K11" s="1"/>
      <c r="L11" s="4"/>
      <c r="M11" s="1"/>
      <c r="N11" s="1"/>
      <c r="O11" s="1"/>
    </row>
    <row r="12" spans="1:15" x14ac:dyDescent="0.2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4"/>
      <c r="M12" s="1"/>
      <c r="N12" s="1"/>
      <c r="O12" s="1"/>
    </row>
    <row r="13" spans="1:15" x14ac:dyDescent="0.2">
      <c r="A13" s="1"/>
      <c r="B13" s="8"/>
      <c r="C13" s="1"/>
      <c r="D13" s="1"/>
      <c r="E13" s="1"/>
      <c r="F13" s="1"/>
      <c r="G13" s="1"/>
      <c r="H13" s="1"/>
      <c r="I13" s="1">
        <v>0.25</v>
      </c>
      <c r="J13" s="1"/>
      <c r="K13" s="1"/>
      <c r="L13" s="4"/>
      <c r="M13" s="1"/>
      <c r="N13" s="1"/>
      <c r="O13" s="1"/>
    </row>
    <row r="14" spans="1:15" x14ac:dyDescent="0.2">
      <c r="A14" s="1"/>
      <c r="B14" s="8"/>
      <c r="C14" s="1"/>
      <c r="D14" s="1"/>
      <c r="E14" s="1"/>
      <c r="F14" s="1"/>
      <c r="G14" s="1"/>
      <c r="H14" s="1"/>
      <c r="I14" s="1" t="s">
        <v>19</v>
      </c>
      <c r="J14" s="1"/>
      <c r="K14" s="1"/>
      <c r="L14" s="4"/>
      <c r="M14" s="1"/>
      <c r="N14" s="1"/>
      <c r="O14" s="1"/>
    </row>
    <row r="15" spans="1:15" x14ac:dyDescent="0.2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4">
        <f>SUM(I16,E11,)</f>
        <v>300</v>
      </c>
      <c r="M15" s="1"/>
      <c r="N15" s="1"/>
      <c r="O15" s="1"/>
    </row>
    <row r="16" spans="1:15" x14ac:dyDescent="0.2">
      <c r="A16" s="1"/>
      <c r="B16" s="8"/>
      <c r="C16" s="1"/>
      <c r="D16" s="1"/>
      <c r="E16" s="1"/>
      <c r="F16" s="1"/>
      <c r="G16" s="1"/>
      <c r="H16" s="1"/>
      <c r="I16" s="1">
        <v>300</v>
      </c>
      <c r="J16" s="1">
        <f>L15</f>
        <v>300</v>
      </c>
      <c r="K16" s="1"/>
      <c r="L16" s="4"/>
      <c r="M16" s="1"/>
      <c r="N16" s="1"/>
      <c r="O16" s="1"/>
    </row>
    <row r="17" spans="1:15" x14ac:dyDescent="0.2">
      <c r="A17" s="1"/>
      <c r="B17" s="8"/>
      <c r="C17" s="1"/>
      <c r="D17" s="1"/>
      <c r="E17" s="1"/>
      <c r="F17" s="1"/>
      <c r="G17" s="1"/>
      <c r="H17" s="1"/>
      <c r="I17" s="1"/>
      <c r="J17" s="1"/>
      <c r="K17" s="1"/>
      <c r="L17" s="4"/>
      <c r="M17" s="1"/>
      <c r="N17" s="1"/>
      <c r="O17" s="1"/>
    </row>
    <row r="18" spans="1:15" x14ac:dyDescent="0.2">
      <c r="A18" s="1"/>
      <c r="B18" s="8"/>
      <c r="C18" s="1"/>
      <c r="D18" s="1"/>
      <c r="E18" s="1"/>
      <c r="F18" s="1"/>
      <c r="G18" s="1"/>
      <c r="H18" s="1"/>
      <c r="I18" s="1"/>
      <c r="J18" s="1"/>
      <c r="K18" s="1"/>
      <c r="L18" s="4"/>
      <c r="M18" s="1"/>
      <c r="N18" s="1"/>
      <c r="O18" s="1"/>
    </row>
    <row r="19" spans="1:15" x14ac:dyDescent="0.2">
      <c r="A19" s="1"/>
      <c r="B19" s="8"/>
      <c r="C19" s="1"/>
      <c r="D19" s="1"/>
      <c r="E19" s="1" t="s">
        <v>11</v>
      </c>
      <c r="F19" s="1"/>
      <c r="G19" s="1"/>
      <c r="H19" s="1"/>
      <c r="I19" s="1"/>
      <c r="J19" s="1"/>
      <c r="K19" s="1"/>
      <c r="L19" s="4"/>
      <c r="M19" s="1"/>
      <c r="N19" s="1"/>
      <c r="O19" s="1"/>
    </row>
    <row r="20" spans="1:15" x14ac:dyDescent="0.2">
      <c r="A20" s="1"/>
      <c r="B20" s="8"/>
      <c r="C20" s="1"/>
      <c r="D20" s="1"/>
      <c r="E20" s="1"/>
      <c r="F20" s="1"/>
      <c r="G20" s="1"/>
      <c r="H20" s="1"/>
      <c r="I20" s="1"/>
      <c r="J20" s="1"/>
      <c r="K20" s="1"/>
      <c r="L20" s="4">
        <f>SUM(E21,)</f>
        <v>0</v>
      </c>
      <c r="M20" s="1"/>
      <c r="N20" s="1"/>
      <c r="O20" s="1"/>
    </row>
    <row r="21" spans="1:15" x14ac:dyDescent="0.2">
      <c r="A21" s="1"/>
      <c r="B21" s="8">
        <f>MAX(F11,F21,F26,F31)</f>
        <v>175</v>
      </c>
      <c r="C21" s="1"/>
      <c r="D21" s="1"/>
      <c r="E21" s="1">
        <v>0</v>
      </c>
      <c r="F21" s="1">
        <f>L20</f>
        <v>0</v>
      </c>
      <c r="G21" s="1"/>
      <c r="H21" s="1"/>
      <c r="I21" s="1"/>
      <c r="J21" s="1"/>
      <c r="K21" s="1"/>
      <c r="L21" s="4"/>
      <c r="M21" s="1"/>
      <c r="N21" s="1"/>
      <c r="O21" s="1"/>
    </row>
    <row r="22" spans="1:15" x14ac:dyDescent="0.2">
      <c r="A22" s="1"/>
      <c r="B22" s="8"/>
      <c r="C22" s="1"/>
      <c r="D22" s="1"/>
      <c r="E22" s="1"/>
      <c r="F22" s="1"/>
      <c r="G22" s="1"/>
      <c r="H22" s="1"/>
      <c r="I22" s="1"/>
      <c r="J22" s="1"/>
      <c r="K22" s="1"/>
      <c r="L22" s="4"/>
      <c r="M22" s="1"/>
      <c r="N22" s="1"/>
      <c r="O22" s="1"/>
    </row>
    <row r="23" spans="1:15" x14ac:dyDescent="0.2">
      <c r="A23" s="1"/>
      <c r="B23" s="8"/>
      <c r="C23" s="1"/>
      <c r="D23" s="1"/>
      <c r="E23" s="1"/>
      <c r="F23" s="1"/>
      <c r="G23" s="1"/>
      <c r="H23" s="1"/>
      <c r="I23" s="1"/>
      <c r="J23" s="1"/>
      <c r="K23" s="1"/>
      <c r="L23" s="4"/>
      <c r="M23" s="1"/>
      <c r="N23" s="1"/>
      <c r="O23" s="1"/>
    </row>
    <row r="24" spans="1:15" x14ac:dyDescent="0.2">
      <c r="A24" s="1"/>
      <c r="B24" s="8"/>
      <c r="C24" s="1"/>
      <c r="D24" s="1"/>
      <c r="E24" s="1" t="s">
        <v>12</v>
      </c>
      <c r="F24" s="1"/>
      <c r="G24" s="1"/>
      <c r="H24" s="1"/>
      <c r="I24" s="1"/>
      <c r="J24" s="1"/>
      <c r="K24" s="1"/>
      <c r="L24" s="4"/>
      <c r="M24" s="1"/>
      <c r="N24" s="1"/>
      <c r="O24" s="1"/>
    </row>
    <row r="25" spans="1:15" x14ac:dyDescent="0.2">
      <c r="A25" s="1"/>
      <c r="B25" s="8"/>
      <c r="C25" s="1"/>
      <c r="D25" s="1"/>
      <c r="E25" s="1"/>
      <c r="F25" s="1"/>
      <c r="G25" s="1"/>
      <c r="H25" s="1"/>
      <c r="I25" s="1"/>
      <c r="J25" s="1"/>
      <c r="K25" s="1"/>
      <c r="L25" s="4">
        <f>SUM(E26,)</f>
        <v>0</v>
      </c>
      <c r="M25" s="1"/>
      <c r="N25" s="1"/>
      <c r="O25" s="1"/>
    </row>
    <row r="26" spans="1:15" x14ac:dyDescent="0.2">
      <c r="B26" s="8"/>
      <c r="C26" s="1"/>
      <c r="D26" s="1"/>
      <c r="E26" s="1">
        <v>0</v>
      </c>
      <c r="F26" s="1">
        <f>L25</f>
        <v>0</v>
      </c>
      <c r="G26" s="1"/>
      <c r="H26" s="1"/>
      <c r="I26" s="1"/>
      <c r="J26" s="1"/>
      <c r="K26" s="1"/>
      <c r="L26" s="4"/>
    </row>
    <row r="27" spans="1:15" x14ac:dyDescent="0.2">
      <c r="B27" s="8"/>
      <c r="C27" s="1"/>
      <c r="D27" s="1"/>
      <c r="E27" s="1"/>
      <c r="F27" s="1"/>
      <c r="G27" s="1"/>
      <c r="H27" s="1"/>
      <c r="I27" s="1"/>
      <c r="J27" s="1"/>
      <c r="K27" s="1"/>
      <c r="L27" s="4"/>
    </row>
    <row r="28" spans="1:15" x14ac:dyDescent="0.2">
      <c r="B28" s="8"/>
      <c r="C28" s="1"/>
      <c r="D28" s="1"/>
      <c r="E28" s="1"/>
      <c r="F28" s="1"/>
      <c r="G28" s="1"/>
      <c r="H28" s="1"/>
      <c r="I28" s="1"/>
      <c r="J28" s="1"/>
      <c r="K28" s="1"/>
      <c r="L28" s="4"/>
    </row>
    <row r="29" spans="1:15" x14ac:dyDescent="0.2">
      <c r="B29" s="8"/>
      <c r="C29" s="1"/>
      <c r="D29" s="1"/>
      <c r="E29" s="1" t="s">
        <v>14</v>
      </c>
      <c r="F29" s="1"/>
      <c r="G29" s="1"/>
      <c r="H29" s="1"/>
      <c r="I29" s="1"/>
      <c r="J29" s="1"/>
      <c r="K29" s="1"/>
      <c r="L29" s="4"/>
    </row>
    <row r="30" spans="1:15" x14ac:dyDescent="0.2">
      <c r="B30" s="8"/>
      <c r="C30" s="1"/>
      <c r="D30" s="1"/>
      <c r="E30" s="1"/>
      <c r="F30" s="1"/>
      <c r="G30" s="1"/>
      <c r="H30" s="1"/>
      <c r="I30" s="1"/>
      <c r="J30" s="1"/>
      <c r="K30" s="1"/>
      <c r="L30" s="4">
        <f>SUM(E31,)</f>
        <v>0</v>
      </c>
    </row>
    <row r="31" spans="1:15" x14ac:dyDescent="0.2">
      <c r="B31" s="8"/>
      <c r="C31" s="1"/>
      <c r="D31" s="1"/>
      <c r="E31" s="1">
        <v>0</v>
      </c>
      <c r="F31" s="1">
        <f>L30</f>
        <v>0</v>
      </c>
      <c r="G31" s="1"/>
      <c r="H31" s="1"/>
      <c r="I31" s="1"/>
      <c r="J31" s="1"/>
      <c r="K31" s="1"/>
      <c r="L31" s="4"/>
    </row>
    <row r="32" spans="1:15" x14ac:dyDescent="0.2">
      <c r="B32" s="9"/>
      <c r="C32" s="5"/>
      <c r="D32" s="5"/>
      <c r="E32" s="5"/>
      <c r="F32" s="5"/>
      <c r="G32" s="5"/>
      <c r="H32" s="5"/>
      <c r="I32" s="5"/>
      <c r="J32" s="5"/>
      <c r="K32" s="5"/>
      <c r="L32" s="6"/>
    </row>
    <row r="33" spans="2:12" x14ac:dyDescent="0.2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2:12" x14ac:dyDescent="0.2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2:12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2:12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2:12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991" spans="1001:1002" x14ac:dyDescent="0.2">
      <c r="ALM991" t="s">
        <v>16</v>
      </c>
      <c r="ALN991" t="s">
        <v>13</v>
      </c>
    </row>
    <row r="1003" spans="1002:1009" x14ac:dyDescent="0.2">
      <c r="ALN1003" t="s">
        <v>0</v>
      </c>
      <c r="ALO1003" t="s">
        <v>1</v>
      </c>
      <c r="ALP1003" t="s">
        <v>2</v>
      </c>
      <c r="ALQ1003" t="s">
        <v>3</v>
      </c>
      <c r="ALR1003" t="s">
        <v>4</v>
      </c>
      <c r="ALS1003" t="s">
        <v>5</v>
      </c>
      <c r="ALT1003" t="s">
        <v>6</v>
      </c>
      <c r="ALU1003" t="s">
        <v>7</v>
      </c>
    </row>
    <row r="1004" spans="1002:1009" x14ac:dyDescent="0.2">
      <c r="ALN1004">
        <v>1</v>
      </c>
      <c r="ALO1004">
        <v>4</v>
      </c>
      <c r="ALP1004" t="s">
        <v>8</v>
      </c>
      <c r="ALQ1004">
        <v>2</v>
      </c>
      <c r="ALR1004">
        <v>9</v>
      </c>
      <c r="ALS1004" t="s">
        <v>17</v>
      </c>
      <c r="ALT1004">
        <v>100</v>
      </c>
      <c r="ALU1004">
        <v>0.5</v>
      </c>
    </row>
    <row r="1005" spans="1002:1009" x14ac:dyDescent="0.2">
      <c r="ALN1005">
        <v>2</v>
      </c>
      <c r="ALO1005">
        <v>4</v>
      </c>
      <c r="ALP1005" t="s">
        <v>8</v>
      </c>
      <c r="ALQ1005">
        <v>7</v>
      </c>
      <c r="ALR1005">
        <v>9</v>
      </c>
      <c r="ALS1005" t="s">
        <v>18</v>
      </c>
      <c r="ALT1005">
        <v>200</v>
      </c>
      <c r="ALU1005">
        <v>0.25</v>
      </c>
    </row>
    <row r="1006" spans="1002:1009" x14ac:dyDescent="0.2">
      <c r="ALN1006">
        <v>3</v>
      </c>
      <c r="ALO1006">
        <v>4</v>
      </c>
      <c r="ALP1006" t="s">
        <v>8</v>
      </c>
      <c r="ALQ1006">
        <v>12</v>
      </c>
      <c r="ALR1006">
        <v>9</v>
      </c>
      <c r="ALS1006" t="s">
        <v>19</v>
      </c>
      <c r="ALT1006">
        <v>300</v>
      </c>
      <c r="ALU1006">
        <v>0.25</v>
      </c>
    </row>
    <row r="1007" spans="1002:1009" x14ac:dyDescent="0.2">
      <c r="ALN1007">
        <v>4</v>
      </c>
      <c r="ALO1007">
        <v>8</v>
      </c>
      <c r="ALP1007" t="s">
        <v>15</v>
      </c>
      <c r="ALQ1007">
        <v>7</v>
      </c>
      <c r="ALR1007">
        <v>5</v>
      </c>
      <c r="ALS1007" t="s">
        <v>10</v>
      </c>
      <c r="ALT1007">
        <v>0</v>
      </c>
      <c r="ALU1007">
        <v>0.25</v>
      </c>
    </row>
    <row r="1008" spans="1002:1009" x14ac:dyDescent="0.2">
      <c r="ALN1008">
        <v>5</v>
      </c>
      <c r="ALO1008">
        <v>8</v>
      </c>
      <c r="ALP1008" t="s">
        <v>8</v>
      </c>
      <c r="ALQ1008">
        <v>17</v>
      </c>
      <c r="ALR1008">
        <v>5</v>
      </c>
      <c r="ALS1008" t="s">
        <v>11</v>
      </c>
      <c r="ALT1008">
        <v>0</v>
      </c>
      <c r="ALU1008">
        <v>0.25</v>
      </c>
    </row>
    <row r="1009" spans="1002:1009" x14ac:dyDescent="0.2">
      <c r="ALN1009">
        <v>6</v>
      </c>
      <c r="ALO1009">
        <v>8</v>
      </c>
      <c r="ALP1009" t="s">
        <v>8</v>
      </c>
      <c r="ALQ1009">
        <v>22</v>
      </c>
      <c r="ALR1009">
        <v>5</v>
      </c>
      <c r="ALS1009" t="s">
        <v>12</v>
      </c>
      <c r="ALT1009">
        <v>0</v>
      </c>
      <c r="ALU1009">
        <v>0.25</v>
      </c>
    </row>
    <row r="1010" spans="1002:1009" x14ac:dyDescent="0.2">
      <c r="ALN1010">
        <v>7</v>
      </c>
      <c r="ALO1010">
        <v>8</v>
      </c>
      <c r="ALP1010" t="s">
        <v>8</v>
      </c>
      <c r="ALQ1010">
        <v>27</v>
      </c>
      <c r="ALR1010">
        <v>5</v>
      </c>
      <c r="ALS1010" t="s">
        <v>14</v>
      </c>
      <c r="ALT1010">
        <v>0</v>
      </c>
      <c r="ALU1010">
        <v>0.25</v>
      </c>
    </row>
    <row r="1011" spans="1002:1009" x14ac:dyDescent="0.2">
      <c r="ALN1011">
        <v>8</v>
      </c>
      <c r="ALO1011">
        <v>0</v>
      </c>
      <c r="ALP1011" t="s">
        <v>9</v>
      </c>
      <c r="ALQ1011">
        <v>17</v>
      </c>
      <c r="ALR1011">
        <v>1</v>
      </c>
      <c r="ALU1011">
        <v>1</v>
      </c>
    </row>
  </sheetData>
  <pageMargins left="0.7" right="0.7" top="0.75" bottom="0.75" header="0.3" footer="0.3"/>
  <drawing r:id="rId1"/>
</worksheet>
</file>

<file path=customUI/_rels/customUI.xml.rels><?xml version="1.0" encoding="UTF-8" standalone="yes"?>
<Relationships xmlns="http://schemas.openxmlformats.org/package/2006/relationships"><Relationship Id="event" Type="http://schemas.openxmlformats.org/officeDocument/2006/relationships/image" Target="images/event.png"/><Relationship Id="event-2" Type="http://schemas.openxmlformats.org/officeDocument/2006/relationships/image" Target="images/icons8-circled-2-48.png"/><Relationship Id="terminal" Type="http://schemas.openxmlformats.org/officeDocument/2006/relationships/image" Target="images/icons8-download-40.png"/><Relationship Id="decision-5" Type="http://schemas.openxmlformats.org/officeDocument/2006/relationships/image" Target="images/icons8-5-48.png"/><Relationship Id="paste" Type="http://schemas.openxmlformats.org/officeDocument/2006/relationships/image" Target="images/icons8-paste-48.png"/><Relationship Id="decision-4" Type="http://schemas.openxmlformats.org/officeDocument/2006/relationships/image" Target="images/icons8-4-48.png"/><Relationship Id="event-5" Type="http://schemas.openxmlformats.org/officeDocument/2006/relationships/image" Target="images/icons8-circled-5-48.png"/><Relationship Id="copy" Type="http://schemas.openxmlformats.org/officeDocument/2006/relationships/image" Target="images/icons8-copy-48.png"/><Relationship Id="decision-3" Type="http://schemas.openxmlformats.org/officeDocument/2006/relationships/image" Target="images/icons8-3-48.png"/><Relationship Id="remove" Type="http://schemas.openxmlformats.org/officeDocument/2006/relationships/image" Target="images/icons8-delete-40.png"/><Relationship Id="insert-decision" Type="http://schemas.openxmlformats.org/officeDocument/2006/relationships/image" Target="images/add-decision-50.png"/><Relationship Id="event-4" Type="http://schemas.openxmlformats.org/officeDocument/2006/relationships/image" Target="images/icons8-circled-4-48.png"/><Relationship Id="insert-event" Type="http://schemas.openxmlformats.org/officeDocument/2006/relationships/image" Target="images/add-event.png"/><Relationship Id="decision" Type="http://schemas.openxmlformats.org/officeDocument/2006/relationships/image" Target="images/decision-50.png"/><Relationship Id="decision-2" Type="http://schemas.openxmlformats.org/officeDocument/2006/relationships/image" Target="images/icons8-2-48.png"/><Relationship Id="new-tree" Type="http://schemas.openxmlformats.org/officeDocument/2006/relationships/image" Target="images/icons8-hierarchy-40.png"/><Relationship Id="new-branch" Type="http://schemas.openxmlformats.org/officeDocument/2006/relationships/image" Target="images/icons8-merge-git-40.png"/><Relationship Id="event-3" Type="http://schemas.openxmlformats.org/officeDocument/2006/relationships/image" Target="images/icons8-circled-3-48.png"/></Relationships>
</file>

<file path=customUI/customUI.xml><?xml version="1.0" encoding="utf-8"?>
<customUI xmlns="http://schemas.microsoft.com/office/2009/07/customui" onLoad="BY_OnMainLoad">
  <!--
    TreePlan Excel Add-in - Custom Ribbon UI
    Updated to Office 2009/2010 schema for better compatibility with modern Office versions
    Supports: Office 2010, 2013, 2016, 2019, 2021, and Microsoft 365
  -->
  <ribbon>
    <tabs>
      <tab id="ByTreePlanCustomTab" label="Tree Plan" keytip="TP">
        <group id="customGroup1" label="Main" autoScale="true">
          <menu id="newTreeMenu" label="New" size="large" getEnabled="ToolEnabled" imageMso="XmlSchema" screentip="Create New Tree" supertip="Create a new decision tree with the specified number of branches">
            <button id="newTreeBtn2" label="With 2 Branches" onAction="BY_NewTree_2" imageMso="_2" screentip="2 Branches" supertip="Create a new tree with 2 branches"/>
            <button id="newTreeBtn3" label="With 3 Branches" onAction="BY_NewTree_3" imageMso="_3" screentip="3 Branches" supertip="Create a new tree with 3 branches"/>
            <button id="newTreeBtn4" label="With 4 Branches" onAction="BY_NewTree_4" imageMso="_4" screentip="4 Branches" supertip="Create a new tree with 4 branches"/>
            <button id="newTreeBtn5" label="With 5 Branches" onAction="BY_NewTree_5" imageMso="_5" screentip="5 Branches" supertip="Create a new tree with 5 branches"/>
          </menu>
          <button id="resetTreeBtn" label="Reset" size="normal" onAction="BY_Reset" getEnabled="ToolEnabled" imageMso="FacilitiesRefresh" screentip="Reset Tree" supertip="Reset the current tree and clear all data"/>
          <button id="optionsBtn" label="Options" size="normal" onAction="BY_Configure" getEnabled="ToolEnabled" imageMso="GroupContTypeManage" screentip="Options" supertip="Configure tree display options and themes"/>
        </group>
        <group id="customGroup2" label="Node" autoScale="true">
          <menu id="changeToDecisionMenu" label="Change To Decision" size="normal" getEnabled="ToolEnabled" getVisible="ToolVisible" imageMso="D" screentip="Change to Decision Node" supertip="Convert terminal node to a decision node with specified branches">
            <button id="changeToDecisionBtn2" label="With 2 Branches" onAction="BY_ChangeToDecision_2" imageMso="_2" screentip="2 Branches" supertip="Change to decision node with 2 branches"/>
            <button id="changeToDecisionBtn3" label="With 3 Branches" onAction="BY_ChangeToDecision_3" imageMso="_3" screentip="3 Branches" supertip="Change to decision node with 3 branches"/>
            <button id="changeToDecisionBtn4" label="With 4 Branches" onAction="BY_ChangeToDecision_4" imageMso="_4" screentip="4 Branches" supertip="Change to decision node with 4 branches"/>
            <button id="changeToDecisionBtn5" label="With 5 Branches" onAction="BY_ChangeToDecision_5" imageMso="_5" screentip="5 Branches" supertip="Change to decision node with 5 branches"/>
          </menu>
          <button id="changeToDecisionBtn" label="Change To Decision" size="normal" onAction="BY_ChangeToDecision" getEnabled="ToolEnabled" getVisible="ToolVisible" imageMso="D" screentip="Change to Decision" supertip="Convert event node to a decision node"/>
          <menu id="changeToEventMenu" label="Change To Event" size="normal" getEnabled="ToolEnabled" getVisible="ToolVisible" imageMso="E" screentip="Change to Event Node" supertip="Convert terminal node to an event node with specified branches">
            <button id="changeToEventBtn2" label="With 2 Branches" onAction="BY_ChangeToEvent_2" imageMso="_2" screentip="2 Branches" supertip="Change to event node with 2 branches"/>
            <button id="changeToEventBtn3" label="With 3 Branches" onAction="BY_ChangeToEvent_3" imageMso="_3" screentip="3 Branches" supertip="Change to event node with 3 branches"/>
            <button id="changeToEventBtn4" label="With 4 Branches" onAction="BY_ChangeToEvent_4" imageMso="_4" screentip="4 Branches" supertip="Change to event node with 4 branches"/>
            <button id="changeToEventBtn5" label="With 5 Branches" onAction="BY_ChangeToEvent_5" imageMso="_5" screentip="5 Branches" supertip="Change to event node with 5 branches"/>
          </menu>
          <button id="changeToEventBtn" label="Change To Event" size="normal" onAction="BY_ChangeToEvent" getEnabled="ToolEnabled" getVisible="ToolVisible" imageMso="E" screentip="Change to Event" supertip="Convert decision node to an event node"/>
          <button id="changeToTerminalBtn" label="Change To Terminal" size="normal" onAction="BY_ChangeToTerminal" getEnabled="ToolEnabled" getVisible="ToolVisible" imageMso="T" screentip="Change to Terminal" supertip="Convert to a terminal node (end point)"/>
        </group>
        <group id="customGroup3" label="Branch" autoScale="true">
          <button id="addBranchBtn" label="Add Branch" size="normal" onAction="BY_AddBranch" getEnabled="ToolEnabled" imageMso="OutlineExpand" screentip="Add Branch" supertip="Add a new branch to the current decision or event node"/>
          <button id="removeBranchBtn" label="Remove Branch" size="normal" onAction="BY_RemoveBranch" getEnabled="ToolEnabled" imageMso="OutlineCollapse" screentip="Remove Branch" supertip="Remove the currently selected branch"/>
        </group>
        <group id="customGroup4" label="Copy/Paste" autoScale="true">
          <button id="copySubtreeBtn" label="Copy Subtree" size="normal" onAction="BY_CopySubtree" getEnabled="ToolEnabled" imageMso="Copy" screentip="Copy Subtree" supertip="Copy the entire subtree starting from the current node"/>
          <button id="pasteSubtreeBtn" label="Paste Subtree" size="normal" onAction="BY_PasteSubtree" getEnabled="ToolEnabled" imageMso="Paste" screentip="Paste Subtree" supertip="Paste a previously copied subtree at the current location"/>
        </group>
        <group id="customGroup5" label="Insert" autoScale="true">
          <button id="insertDecisionBtn" label="Insert Decision" size="normal" onAction="BY_InsertDecision" getEnabled="ToolEnabled" imageMso="D" screentip="Insert Decision" supertip="Insert a decision node in the middle of the current branch"/>
          <button id="insertEventBtn" label="Insert Event" size="normal" onAction="BY_InsertEvent" getEnabled="ToolEnabled" imageMso="E" screentip="Insert Event" supertip="Insert an event node in the middle of the current branch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Company>TreePlan Open Source</Company>
  <LinksUpToDate>false</LinksUpToDate>
  <SharedDoc>false</SharedDoc>
  <HyperlinksChanged>false</HyperlinksChanged>
  <AppVersion>16.0300</AppVersion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Sheet5</vt:lpstr>
      <vt:lpstr>Sheet5!TreeData</vt:lpstr>
      <vt:lpstr>Sheet5!TreeDiag</vt:lpstr>
      <vt:lpstr>Sheet5!TreeOption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TreePlan Excel Add-in</dc:title>
  <dc:subject>Decision Tree Analysis Tool</dc:subject>
  <dc:creator>Ying Bian</dc:creator>
  <dc:description>Modern Excel add-in for creating and managing decision trees. Supports Office 2007-365 on Windows and macOS.</dc:description>
  <cp:keywords>decision tree, analysis, Excel, add-in, VBA, open source</cp:keywords>
  <cp:lastModifiedBy>TreePlan Modernization</cp:lastModifiedBy>
  <cp:revision>2</cp:revision>
  <dcterms:created xsi:type="dcterms:W3CDTF">2019-01-25T02:50:57Z</dcterms:created>
  <dcterms:modified xsi:type="dcterms:W3CDTF">2025-11-14T05:45:00Z</dcterms:modified>
</cp:coreProperties>
</file>